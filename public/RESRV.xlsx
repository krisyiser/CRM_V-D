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AGUILAR\Downloads\"/>
    </mc:Choice>
  </mc:AlternateContent>
  <xr:revisionPtr revIDLastSave="0" documentId="8_{3A245C81-C349-4BC9-937B-810A1F24C075}" xr6:coauthVersionLast="47" xr6:coauthVersionMax="47" xr10:uidLastSave="{00000000-0000-0000-0000-000000000000}"/>
  <bookViews>
    <workbookView xWindow="-108" yWindow="-108" windowWidth="23256" windowHeight="12456" xr2:uid="{CAFBD575-768C-4262-9EA8-654DD680694E}"/>
  </bookViews>
  <sheets>
    <sheet name="Registro Reservacion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2" l="1"/>
  <c r="J37" i="2"/>
  <c r="J36" i="2"/>
  <c r="J35" i="2"/>
  <c r="J34" i="2"/>
  <c r="J33" i="2"/>
  <c r="J32" i="2"/>
  <c r="J31" i="2"/>
  <c r="J29" i="2"/>
  <c r="J28" i="2"/>
  <c r="J27" i="2"/>
  <c r="J26" i="2"/>
  <c r="J25" i="2"/>
  <c r="J24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40" i="2" s="1"/>
</calcChain>
</file>

<file path=xl/sharedStrings.xml><?xml version="1.0" encoding="utf-8"?>
<sst xmlns="http://schemas.openxmlformats.org/spreadsheetml/2006/main" count="74" uniqueCount="23">
  <si>
    <t>MARZO</t>
  </si>
  <si>
    <t>FECHA</t>
  </si>
  <si>
    <t>HABITACIÓN</t>
  </si>
  <si>
    <t>PERSONAS</t>
  </si>
  <si>
    <t>NOCHES</t>
  </si>
  <si>
    <t>PRECIO POR NOCHE</t>
  </si>
  <si>
    <t>DESAYUNO EXTRA</t>
  </si>
  <si>
    <t>PRECIO</t>
  </si>
  <si>
    <t>ESTACIONAMIENTO</t>
  </si>
  <si>
    <t>TOTAL</t>
  </si>
  <si>
    <t>METODO DE PAGO</t>
  </si>
  <si>
    <t>NOTA</t>
  </si>
  <si>
    <t>MOROS Y CRISTIANOS</t>
  </si>
  <si>
    <t>TRANSFERENCIA</t>
  </si>
  <si>
    <t>EL VOLADOR</t>
  </si>
  <si>
    <t>SANTIAGUEROS</t>
  </si>
  <si>
    <t>NEGRITOS</t>
  </si>
  <si>
    <t>GUAGUAS</t>
  </si>
  <si>
    <t>TARJETA</t>
  </si>
  <si>
    <t>ABRIL</t>
  </si>
  <si>
    <t>AIRBNB</t>
  </si>
  <si>
    <t>EFECTIVO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</si>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</sst>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164" fontId="0" fillId="0" borderId="0" xfId="0" applyNumberForma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0FDD0-DEAF-4E7E-BF53-A1EBE467F00B}" name="Tabla2" displayName="Tabla2" ref="B1:L40" totalsRowCount="1">
  <autoFilter ref="B1:L39" xr:uid="{1E1A4E4A-6B1E-4412-818A-C7F098104883}"/>
  <tableColumns count="11">
    <tableColumn id="1" xr3:uid="{54F82D3F-CA4B-4582-BCD2-6BD4ABCD095D}" name="FECHA" totalsRowLabel="TOTAL"/>
    <tableColumn id="2" xr3:uid="{118CAD2A-59A4-4328-A230-80DBD0C687ED}" name="HABITACIÓN"/>
    <tableColumn id="3" xr3:uid="{1AF785B1-5B1D-4330-A68C-EB0FC8FC5560}" name="PERSONAS" dataDxfId="8"/>
    <tableColumn id="4" xr3:uid="{36E5F36D-2084-4E45-8C38-1DE76D94C7EA}" name="NOCHES"/>
    <tableColumn id="5" xr3:uid="{95539E40-A1CE-445F-B159-7C556865A2F2}" name="PRECIO POR NOCHE" totalsRowDxfId="7"/>
    <tableColumn id="10" xr3:uid="{2A45740D-8CD4-430D-BD6A-4C1C320EA01F}" name="DESAYUNO EXTRA" totalsRowDxfId="6"/>
    <tableColumn id="9" xr3:uid="{28D5594C-5A2C-49D1-8500-21B83A0814C1}" name="PRECIO" totalsRowDxfId="5"/>
    <tableColumn id="12" xr3:uid="{6727CF6A-5E8D-4622-B7CE-C85DFCE309E0}" name="ESTACIONAMIENTO" dataDxfId="3" totalsRowDxfId="4"/>
    <tableColumn id="6" xr3:uid="{CB55ED40-3213-4B54-B505-2EF7EE760872}" name="TOTAL" totalsRowFunction="custom" dataDxfId="1" totalsRowDxfId="2">
      <calculatedColumnFormula>(E2*F2)+(G2*H2)</calculatedColumnFormula>
      <totalsRowFormula>SUM(J2:J39)</totalsRowFormula>
    </tableColumn>
    <tableColumn id="7" xr3:uid="{5E7CB8EC-7325-4B7C-84CE-F3241A76C459}" name="METODO DE PAGO"/>
    <tableColumn id="11" xr3:uid="{9C8F8CD5-BD27-484C-8158-B2CBA7E080F9}" name="NOTA" totalsRow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CBAC-491E-409F-9716-AD5ADF772AF5}">
  <dimension ref="A1:N40"/>
  <sheetViews>
    <sheetView tabSelected="1" workbookViewId="0">
      <selection activeCell="M32" sqref="M32"/>
    </sheetView>
  </sheetViews>
  <sheetFormatPr baseColWidth="10" defaultColWidth="8.88671875" defaultRowHeight="14.4" x14ac:dyDescent="0.3"/>
  <cols>
    <col min="2" max="2" width="11.44140625" customWidth="1"/>
    <col min="3" max="3" width="21.88671875" customWidth="1"/>
    <col min="4" max="4" width="14.88671875" customWidth="1"/>
    <col min="5" max="5" width="11.109375" customWidth="1"/>
    <col min="6" max="7" width="19.88671875" customWidth="1"/>
    <col min="8" max="8" width="11.88671875" customWidth="1"/>
    <col min="9" max="9" width="20.109375" customWidth="1"/>
    <col min="10" max="10" width="19.33203125" customWidth="1"/>
    <col min="11" max="11" width="18.44140625" customWidth="1"/>
    <col min="12" max="12" width="16.88671875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B2" s="2">
        <v>46100</v>
      </c>
      <c r="C2" t="s">
        <v>12</v>
      </c>
      <c r="D2">
        <v>1</v>
      </c>
      <c r="E2">
        <v>4</v>
      </c>
      <c r="F2" s="3">
        <v>2800</v>
      </c>
      <c r="G2" s="4">
        <v>0</v>
      </c>
      <c r="H2" s="3">
        <v>0</v>
      </c>
      <c r="I2" s="3"/>
      <c r="J2" s="3">
        <f>(E2*F2)+(G2*H2)</f>
        <v>11200</v>
      </c>
      <c r="K2" t="s">
        <v>13</v>
      </c>
    </row>
    <row r="3" spans="1:14" x14ac:dyDescent="0.3">
      <c r="B3" s="2">
        <v>46100</v>
      </c>
      <c r="C3" t="s">
        <v>14</v>
      </c>
      <c r="D3">
        <v>1</v>
      </c>
      <c r="E3">
        <v>4</v>
      </c>
      <c r="F3" s="3">
        <v>1950</v>
      </c>
      <c r="G3" s="4">
        <v>0</v>
      </c>
      <c r="H3" s="3">
        <v>0</v>
      </c>
      <c r="I3" s="3"/>
      <c r="J3" s="3">
        <f>(E3*F3)+(G3*H3)</f>
        <v>7800</v>
      </c>
      <c r="K3" t="s">
        <v>13</v>
      </c>
      <c r="N3" s="5"/>
    </row>
    <row r="4" spans="1:14" x14ac:dyDescent="0.3">
      <c r="B4" s="2">
        <v>46100</v>
      </c>
      <c r="C4" t="s">
        <v>15</v>
      </c>
      <c r="D4">
        <v>1</v>
      </c>
      <c r="E4">
        <v>4</v>
      </c>
      <c r="F4" s="3">
        <v>1950</v>
      </c>
      <c r="G4" s="4">
        <v>0</v>
      </c>
      <c r="H4" s="3">
        <v>0</v>
      </c>
      <c r="I4" s="3"/>
      <c r="J4" s="3">
        <f>(E4*F4)+(G4*H4)</f>
        <v>7800</v>
      </c>
      <c r="K4" t="s">
        <v>13</v>
      </c>
    </row>
    <row r="5" spans="1:14" x14ac:dyDescent="0.3">
      <c r="B5" s="2">
        <v>46101</v>
      </c>
      <c r="C5" t="s">
        <v>16</v>
      </c>
      <c r="D5">
        <v>2</v>
      </c>
      <c r="E5">
        <v>1</v>
      </c>
      <c r="F5" s="3">
        <v>1100</v>
      </c>
      <c r="G5" s="4">
        <v>0</v>
      </c>
      <c r="H5" s="3">
        <v>0</v>
      </c>
      <c r="I5" s="3"/>
      <c r="J5" s="3">
        <f>(E5*F5)+(G5*H5)</f>
        <v>1100</v>
      </c>
      <c r="K5" t="s">
        <v>13</v>
      </c>
    </row>
    <row r="6" spans="1:14" x14ac:dyDescent="0.3">
      <c r="B6" s="2">
        <v>46102</v>
      </c>
      <c r="C6" t="s">
        <v>17</v>
      </c>
      <c r="D6">
        <v>2</v>
      </c>
      <c r="E6">
        <v>2</v>
      </c>
      <c r="F6" s="3">
        <v>1100</v>
      </c>
      <c r="G6" s="4">
        <v>0</v>
      </c>
      <c r="H6" s="3">
        <v>0</v>
      </c>
      <c r="I6" s="3"/>
      <c r="J6" s="3">
        <f>(E6*F6)+(G6*H6)</f>
        <v>2200</v>
      </c>
      <c r="K6" t="s">
        <v>13</v>
      </c>
    </row>
    <row r="7" spans="1:14" x14ac:dyDescent="0.3">
      <c r="B7" s="2">
        <v>46102</v>
      </c>
      <c r="C7" t="s">
        <v>16</v>
      </c>
      <c r="D7">
        <v>2</v>
      </c>
      <c r="E7">
        <v>1</v>
      </c>
      <c r="F7" s="3">
        <v>1100</v>
      </c>
      <c r="G7" s="4">
        <v>0</v>
      </c>
      <c r="H7" s="3">
        <v>0</v>
      </c>
      <c r="I7" s="3"/>
      <c r="J7" s="3">
        <f>(E7*F7)+(G7*H7)</f>
        <v>1100</v>
      </c>
      <c r="K7" t="s">
        <v>13</v>
      </c>
    </row>
    <row r="8" spans="1:14" x14ac:dyDescent="0.3">
      <c r="B8" s="2">
        <v>46110</v>
      </c>
      <c r="C8" t="s">
        <v>12</v>
      </c>
      <c r="E8">
        <v>1</v>
      </c>
      <c r="F8" s="3">
        <v>2200</v>
      </c>
      <c r="G8" s="4">
        <v>0</v>
      </c>
      <c r="H8" s="3">
        <v>0</v>
      </c>
      <c r="I8" s="3"/>
      <c r="J8" s="3">
        <f>(E8*F8)+(G8*H8)</f>
        <v>2200</v>
      </c>
      <c r="K8" t="s">
        <v>18</v>
      </c>
    </row>
    <row r="9" spans="1:14" x14ac:dyDescent="0.3">
      <c r="B9" s="2">
        <v>46110</v>
      </c>
      <c r="C9" t="s">
        <v>15</v>
      </c>
      <c r="E9">
        <v>1</v>
      </c>
      <c r="F9" s="3">
        <v>1500</v>
      </c>
      <c r="G9" s="4">
        <v>0</v>
      </c>
      <c r="H9" s="3">
        <v>0</v>
      </c>
      <c r="I9" s="3"/>
      <c r="J9" s="3">
        <f>(E9*F9)+(G9*H9)</f>
        <v>1500</v>
      </c>
      <c r="K9" t="s">
        <v>18</v>
      </c>
    </row>
    <row r="10" spans="1:14" x14ac:dyDescent="0.3">
      <c r="A10" s="6" t="s">
        <v>19</v>
      </c>
      <c r="B10" s="2">
        <v>46114</v>
      </c>
      <c r="C10" t="s">
        <v>12</v>
      </c>
      <c r="D10">
        <v>6</v>
      </c>
      <c r="E10">
        <v>1</v>
      </c>
      <c r="F10" s="7">
        <v>2800</v>
      </c>
      <c r="G10" s="8">
        <v>3</v>
      </c>
      <c r="H10" s="7">
        <v>189</v>
      </c>
      <c r="I10" s="7"/>
      <c r="J10" s="7">
        <f>(E10*F10)+(G10*H10)</f>
        <v>3367</v>
      </c>
    </row>
    <row r="11" spans="1:14" x14ac:dyDescent="0.3">
      <c r="B11" s="2">
        <v>46115</v>
      </c>
      <c r="C11" t="s">
        <v>12</v>
      </c>
      <c r="D11">
        <v>3</v>
      </c>
      <c r="E11">
        <v>1</v>
      </c>
      <c r="F11" s="7">
        <v>2147.15</v>
      </c>
      <c r="G11" s="4">
        <v>3</v>
      </c>
      <c r="H11" s="3">
        <v>189</v>
      </c>
      <c r="I11" s="3"/>
      <c r="J11" s="3">
        <f>(E11*F11)+(G11*H11)</f>
        <v>2714.15</v>
      </c>
      <c r="K11" t="s">
        <v>13</v>
      </c>
      <c r="L11" t="s">
        <v>20</v>
      </c>
    </row>
    <row r="12" spans="1:14" x14ac:dyDescent="0.3">
      <c r="B12" s="2">
        <v>46115</v>
      </c>
      <c r="C12" t="s">
        <v>14</v>
      </c>
      <c r="D12">
        <v>4</v>
      </c>
      <c r="E12">
        <v>1</v>
      </c>
      <c r="F12" s="3">
        <v>1600</v>
      </c>
      <c r="G12" s="4">
        <v>4</v>
      </c>
      <c r="H12" s="3">
        <v>189</v>
      </c>
      <c r="I12" s="3"/>
      <c r="J12" s="3">
        <f>(E12*F12)+(G12*H12)</f>
        <v>2356</v>
      </c>
      <c r="K12" t="s">
        <v>18</v>
      </c>
    </row>
    <row r="13" spans="1:14" x14ac:dyDescent="0.3">
      <c r="B13" s="2">
        <v>46115</v>
      </c>
      <c r="C13" t="s">
        <v>15</v>
      </c>
      <c r="D13">
        <v>4</v>
      </c>
      <c r="E13">
        <v>1</v>
      </c>
      <c r="F13" s="3">
        <v>1600</v>
      </c>
      <c r="G13" s="4">
        <v>4</v>
      </c>
      <c r="H13" s="3">
        <v>189</v>
      </c>
      <c r="I13" s="3"/>
      <c r="J13" s="3">
        <f>(E13*F13)+(G13*H13)</f>
        <v>2356</v>
      </c>
      <c r="K13" t="s">
        <v>18</v>
      </c>
    </row>
    <row r="14" spans="1:14" x14ac:dyDescent="0.3">
      <c r="B14" s="2">
        <v>46116</v>
      </c>
      <c r="C14" t="s">
        <v>14</v>
      </c>
      <c r="E14">
        <v>1</v>
      </c>
      <c r="F14" s="3">
        <v>1400</v>
      </c>
      <c r="G14" s="4">
        <v>0</v>
      </c>
      <c r="H14" s="3"/>
      <c r="I14" s="3"/>
      <c r="J14" s="3">
        <f>(E14*F14)+(G14*H14)</f>
        <v>1400</v>
      </c>
      <c r="K14" t="s">
        <v>21</v>
      </c>
    </row>
    <row r="15" spans="1:14" x14ac:dyDescent="0.3">
      <c r="B15" s="2">
        <v>46116</v>
      </c>
      <c r="C15" t="s">
        <v>15</v>
      </c>
      <c r="E15">
        <v>1</v>
      </c>
      <c r="F15" s="3">
        <v>1400</v>
      </c>
      <c r="G15" s="4">
        <v>0</v>
      </c>
      <c r="H15" s="3"/>
      <c r="I15" s="3"/>
      <c r="J15" s="3">
        <f>(E15*F15)+(G15*H15)</f>
        <v>1400</v>
      </c>
      <c r="K15" t="s">
        <v>21</v>
      </c>
    </row>
    <row r="16" spans="1:14" x14ac:dyDescent="0.3">
      <c r="B16" s="2">
        <v>46116</v>
      </c>
      <c r="C16" t="s">
        <v>16</v>
      </c>
      <c r="E16">
        <v>1</v>
      </c>
      <c r="F16" s="3">
        <v>1200</v>
      </c>
      <c r="G16" s="4">
        <v>0</v>
      </c>
      <c r="H16" s="3"/>
      <c r="I16" s="3"/>
      <c r="J16" s="3">
        <f>(E16*F16)+(G16*H16)</f>
        <v>1200</v>
      </c>
      <c r="K16" t="s">
        <v>21</v>
      </c>
    </row>
    <row r="17" spans="1:11" x14ac:dyDescent="0.3">
      <c r="B17" s="2">
        <v>46123</v>
      </c>
      <c r="C17" t="s">
        <v>15</v>
      </c>
      <c r="E17">
        <v>1</v>
      </c>
      <c r="F17" s="3">
        <v>1600</v>
      </c>
      <c r="G17" s="4">
        <v>0</v>
      </c>
      <c r="H17" s="3"/>
      <c r="I17" s="3"/>
      <c r="J17" s="3">
        <f>(E17*F17)+(G17*H17)</f>
        <v>1600</v>
      </c>
      <c r="K17" t="s">
        <v>18</v>
      </c>
    </row>
    <row r="18" spans="1:11" x14ac:dyDescent="0.3">
      <c r="B18" s="2">
        <v>46123</v>
      </c>
      <c r="C18" t="s">
        <v>17</v>
      </c>
      <c r="E18">
        <v>1</v>
      </c>
      <c r="F18" s="3">
        <v>1100</v>
      </c>
      <c r="G18" s="4">
        <v>0</v>
      </c>
      <c r="H18" s="3"/>
      <c r="I18" s="3"/>
      <c r="J18" s="3">
        <f>(E18*F18)+(G18*H18)</f>
        <v>1100</v>
      </c>
      <c r="K18" t="s">
        <v>18</v>
      </c>
    </row>
    <row r="19" spans="1:11" x14ac:dyDescent="0.3">
      <c r="B19" s="2">
        <v>46123</v>
      </c>
      <c r="C19" t="s">
        <v>16</v>
      </c>
      <c r="E19">
        <v>1</v>
      </c>
      <c r="F19" s="3">
        <v>1100</v>
      </c>
      <c r="G19" s="4">
        <v>0</v>
      </c>
      <c r="H19" s="3"/>
      <c r="I19" s="3"/>
      <c r="J19" s="3">
        <f>(E19*F19)+(G19*H19)</f>
        <v>1100</v>
      </c>
      <c r="K19" t="s">
        <v>18</v>
      </c>
    </row>
    <row r="20" spans="1:11" x14ac:dyDescent="0.3">
      <c r="B20" s="2">
        <v>46126</v>
      </c>
      <c r="C20" t="s">
        <v>16</v>
      </c>
      <c r="D20">
        <v>1</v>
      </c>
      <c r="E20">
        <v>1</v>
      </c>
      <c r="F20" s="3">
        <v>1100</v>
      </c>
      <c r="G20" s="4">
        <v>0</v>
      </c>
      <c r="H20" s="3"/>
      <c r="I20" s="3"/>
      <c r="J20" s="3">
        <f>(E20*F20)+(G20*H20)</f>
        <v>1100</v>
      </c>
      <c r="K20" t="s">
        <v>18</v>
      </c>
    </row>
    <row r="21" spans="1:11" x14ac:dyDescent="0.3">
      <c r="B21" s="2">
        <v>46127</v>
      </c>
      <c r="C21" t="s">
        <v>17</v>
      </c>
      <c r="D21">
        <v>1</v>
      </c>
      <c r="E21">
        <v>1</v>
      </c>
      <c r="F21" s="3">
        <v>1100</v>
      </c>
      <c r="G21" s="4">
        <v>0</v>
      </c>
      <c r="H21" s="3"/>
      <c r="I21" s="3"/>
      <c r="J21" s="3">
        <f>(E21*F21)+(G21*H21)</f>
        <v>1100</v>
      </c>
      <c r="K21" t="s">
        <v>13</v>
      </c>
    </row>
    <row r="22" spans="1:11" x14ac:dyDescent="0.3">
      <c r="B22" s="2">
        <v>46129</v>
      </c>
      <c r="C22" t="s">
        <v>17</v>
      </c>
      <c r="D22">
        <v>1</v>
      </c>
      <c r="E22">
        <v>1</v>
      </c>
      <c r="F22" s="3">
        <v>1100</v>
      </c>
      <c r="G22" s="4">
        <v>0</v>
      </c>
      <c r="H22" s="3"/>
      <c r="I22" s="3"/>
      <c r="J22" s="3">
        <f>(E22*F22)+(G22*H22)</f>
        <v>1100</v>
      </c>
      <c r="K22" t="s">
        <v>13</v>
      </c>
    </row>
    <row r="23" spans="1:11" x14ac:dyDescent="0.3">
      <c r="B23" s="2">
        <v>46136</v>
      </c>
      <c r="C23" t="s">
        <v>15</v>
      </c>
      <c r="D23">
        <v>2</v>
      </c>
      <c r="E23">
        <v>2</v>
      </c>
      <c r="F23" s="3">
        <v>1950</v>
      </c>
      <c r="G23" s="4">
        <v>0</v>
      </c>
      <c r="H23" s="3"/>
      <c r="I23" s="3">
        <v>100</v>
      </c>
      <c r="J23" s="3">
        <v>4000</v>
      </c>
      <c r="K23" t="s">
        <v>21</v>
      </c>
    </row>
    <row r="24" spans="1:11" x14ac:dyDescent="0.3">
      <c r="B24" s="2">
        <v>46140</v>
      </c>
      <c r="C24" t="s">
        <v>17</v>
      </c>
      <c r="D24">
        <v>2</v>
      </c>
      <c r="E24">
        <v>1</v>
      </c>
      <c r="F24" s="3">
        <v>1100</v>
      </c>
      <c r="G24" s="4">
        <v>0</v>
      </c>
      <c r="H24" s="3"/>
      <c r="I24" s="3">
        <v>50</v>
      </c>
      <c r="J24" s="3">
        <f>(E24*F24)+(G24*H24)+I24</f>
        <v>1150</v>
      </c>
    </row>
    <row r="25" spans="1:11" x14ac:dyDescent="0.3">
      <c r="B25" s="2">
        <v>46141</v>
      </c>
      <c r="C25" t="s">
        <v>16</v>
      </c>
      <c r="D25">
        <v>2</v>
      </c>
      <c r="E25">
        <v>1</v>
      </c>
      <c r="F25" s="3">
        <v>1100</v>
      </c>
      <c r="G25" s="4">
        <v>0</v>
      </c>
      <c r="H25" s="3"/>
      <c r="I25" s="3">
        <v>50</v>
      </c>
      <c r="J25" s="3">
        <f>(E25*F25)+(G25*H25)+I25</f>
        <v>1150</v>
      </c>
      <c r="K25" t="s">
        <v>21</v>
      </c>
    </row>
    <row r="26" spans="1:11" x14ac:dyDescent="0.3">
      <c r="B26" s="2">
        <v>46142</v>
      </c>
      <c r="C26" t="s">
        <v>16</v>
      </c>
      <c r="D26">
        <v>2</v>
      </c>
      <c r="E26">
        <v>1</v>
      </c>
      <c r="F26" s="3">
        <v>1100</v>
      </c>
      <c r="G26" s="4">
        <v>0</v>
      </c>
      <c r="H26" s="3"/>
      <c r="I26" s="3"/>
      <c r="J26" s="3">
        <f>(E26*F26)+(G26*H26)</f>
        <v>1100</v>
      </c>
    </row>
    <row r="27" spans="1:11" x14ac:dyDescent="0.3">
      <c r="A27" s="9" t="s">
        <v>22</v>
      </c>
      <c r="B27" s="2">
        <v>46143</v>
      </c>
      <c r="C27" t="s">
        <v>14</v>
      </c>
      <c r="E27">
        <v>1</v>
      </c>
      <c r="F27" s="3">
        <v>1600</v>
      </c>
      <c r="G27" s="4">
        <v>0</v>
      </c>
      <c r="H27" s="3"/>
      <c r="I27" s="3">
        <v>50</v>
      </c>
      <c r="J27" s="3">
        <f>(E27*F27)+(G27*H27)+I27</f>
        <v>1650</v>
      </c>
    </row>
    <row r="28" spans="1:11" x14ac:dyDescent="0.3">
      <c r="B28" s="2">
        <v>46143</v>
      </c>
      <c r="C28" t="s">
        <v>17</v>
      </c>
      <c r="E28">
        <v>1</v>
      </c>
      <c r="F28" s="3">
        <v>1100</v>
      </c>
      <c r="G28" s="4">
        <v>0</v>
      </c>
      <c r="H28" s="3"/>
      <c r="I28" s="3"/>
      <c r="J28" s="3">
        <f>(E28*F28)+(G28*H28)</f>
        <v>1100</v>
      </c>
    </row>
    <row r="29" spans="1:11" x14ac:dyDescent="0.3">
      <c r="B29" s="2">
        <v>46143</v>
      </c>
      <c r="C29" t="s">
        <v>16</v>
      </c>
      <c r="E29">
        <v>1</v>
      </c>
      <c r="F29" s="3">
        <v>1100</v>
      </c>
      <c r="G29" s="4">
        <v>0</v>
      </c>
      <c r="H29" s="3"/>
      <c r="I29" s="3"/>
      <c r="J29" s="3">
        <f>(E29*F29)+(G29*H29)</f>
        <v>1100</v>
      </c>
    </row>
    <row r="30" spans="1:11" x14ac:dyDescent="0.3">
      <c r="B30" s="2">
        <v>46144</v>
      </c>
      <c r="C30" t="s">
        <v>17</v>
      </c>
      <c r="E30">
        <v>1</v>
      </c>
      <c r="F30" s="3">
        <v>1100</v>
      </c>
      <c r="G30" s="4">
        <v>0</v>
      </c>
      <c r="I30" s="7">
        <v>50</v>
      </c>
      <c r="J30" s="3">
        <v>1150</v>
      </c>
    </row>
    <row r="31" spans="1:11" x14ac:dyDescent="0.3">
      <c r="B31" s="2">
        <v>46144</v>
      </c>
      <c r="C31" t="s">
        <v>16</v>
      </c>
      <c r="E31">
        <v>1</v>
      </c>
      <c r="F31" s="3">
        <v>1100</v>
      </c>
      <c r="G31" s="4">
        <v>0</v>
      </c>
      <c r="I31" s="3"/>
      <c r="J31" s="3">
        <f>(E31*F31)+(G31*H31)</f>
        <v>1100</v>
      </c>
    </row>
    <row r="32" spans="1:11" x14ac:dyDescent="0.3">
      <c r="B32" s="2">
        <v>46144</v>
      </c>
      <c r="C32" t="s">
        <v>15</v>
      </c>
      <c r="E32">
        <v>1</v>
      </c>
      <c r="F32" s="3">
        <v>1600</v>
      </c>
      <c r="G32" s="4">
        <v>0</v>
      </c>
      <c r="I32" s="3"/>
      <c r="J32" s="3">
        <f>(E32*F32)+(G32*H32)</f>
        <v>1600</v>
      </c>
    </row>
    <row r="33" spans="2:12" x14ac:dyDescent="0.3">
      <c r="B33" s="2">
        <v>46144</v>
      </c>
      <c r="C33" t="s">
        <v>14</v>
      </c>
      <c r="E33">
        <v>1</v>
      </c>
      <c r="F33" s="3">
        <v>1600</v>
      </c>
      <c r="G33" s="4">
        <v>0</v>
      </c>
      <c r="I33" s="3">
        <v>50</v>
      </c>
      <c r="J33" s="3">
        <f>(E33*F33)+(G33*H33)+I33</f>
        <v>1650</v>
      </c>
    </row>
    <row r="34" spans="2:12" x14ac:dyDescent="0.3">
      <c r="B34" s="2">
        <v>46144</v>
      </c>
      <c r="C34" t="s">
        <v>12</v>
      </c>
      <c r="E34">
        <v>1</v>
      </c>
      <c r="F34" s="3">
        <v>2300</v>
      </c>
      <c r="G34" s="4">
        <v>0</v>
      </c>
      <c r="I34" s="3"/>
      <c r="J34" s="3">
        <f>(E34*F34)+(G34*H34)</f>
        <v>2300</v>
      </c>
    </row>
    <row r="35" spans="2:12" x14ac:dyDescent="0.3">
      <c r="B35" s="2">
        <v>46145</v>
      </c>
      <c r="C35" t="s">
        <v>14</v>
      </c>
      <c r="E35">
        <v>1</v>
      </c>
      <c r="F35" s="3">
        <v>1224.32</v>
      </c>
      <c r="G35" s="4">
        <v>0</v>
      </c>
      <c r="I35" s="3"/>
      <c r="J35" s="3">
        <f>(E35*F35)+(G35*H35)</f>
        <v>1224.32</v>
      </c>
      <c r="K35" t="s">
        <v>13</v>
      </c>
      <c r="L35" t="s">
        <v>20</v>
      </c>
    </row>
    <row r="36" spans="2:12" x14ac:dyDescent="0.3">
      <c r="B36" s="2"/>
      <c r="F36" s="3"/>
      <c r="I36" s="3"/>
      <c r="J36" s="3">
        <f>(E36*F36)+(G36*H36)</f>
        <v>0</v>
      </c>
    </row>
    <row r="37" spans="2:12" x14ac:dyDescent="0.3">
      <c r="B37" s="2"/>
      <c r="F37" s="3"/>
      <c r="I37" s="3"/>
      <c r="J37" s="3">
        <f>(E37*F37)+(G37*H37)</f>
        <v>0</v>
      </c>
    </row>
    <row r="38" spans="2:12" x14ac:dyDescent="0.3">
      <c r="B38" s="2"/>
      <c r="F38" s="3"/>
      <c r="I38" s="3"/>
      <c r="J38" s="3">
        <f>(E38*F38)+(G38*H38)</f>
        <v>0</v>
      </c>
    </row>
    <row r="39" spans="2:12" x14ac:dyDescent="0.3">
      <c r="J39" s="10"/>
      <c r="L39" s="4"/>
    </row>
    <row r="40" spans="2:12" x14ac:dyDescent="0.3">
      <c r="B40" t="s">
        <v>9</v>
      </c>
      <c r="F40" s="4"/>
      <c r="G40" s="4"/>
      <c r="H40" s="4"/>
      <c r="I40" s="4"/>
      <c r="J40" s="3">
        <f>SUM(J2:J39)</f>
        <v>77067.47</v>
      </c>
      <c r="L40" s="4"/>
    </row>
  </sheetData>
  <pageMargins left="0.75" right="0.75" top="1" bottom="1" header="0.5" footer="0.5"/>
  <pageSetup orientation="landscape" horizontalDpi="4294967292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Reservaciones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 Aguilar mercado</dc:creator>
  <cp:lastModifiedBy>Gabo Aguilar mercado</cp:lastModifiedBy>
  <dcterms:created xsi:type="dcterms:W3CDTF">2026-05-05T16:01:36Z</dcterms:created>
  <dcterms:modified xsi:type="dcterms:W3CDTF">2026-05-05T19:09:24Z</dcterms:modified>
</cp:coreProperties>
</file>